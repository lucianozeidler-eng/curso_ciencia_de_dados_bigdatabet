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u Computador\Documents\"/>
    </mc:Choice>
  </mc:AlternateContent>
  <xr:revisionPtr revIDLastSave="0" documentId="13_ncr:1_{BFC6F086-9BB5-4362-895B-D8AC2EC22530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Decisao" sheetId="1" r:id="rId1"/>
    <sheet name="Como l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3" i="1" s="1"/>
  <c r="B21" i="1"/>
  <c r="B20" i="1"/>
  <c r="B19" i="1"/>
  <c r="B18" i="1"/>
  <c r="B28" i="1" s="1"/>
  <c r="B15" i="1"/>
  <c r="B14" i="1"/>
  <c r="B13" i="1"/>
  <c r="B12" i="1"/>
  <c r="B11" i="1"/>
  <c r="B27" i="1" l="1"/>
  <c r="B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000-000001000000}">
      <text>
        <r>
          <rPr>
            <sz val="10"/>
            <rFont val="Arial"/>
            <family val="2"/>
          </rPr>
          <t>Gols marcados em casa, por jogo, na media da liga</t>
        </r>
      </text>
    </comment>
    <comment ref="B6" authorId="0" shapeId="0" xr:uid="{00000000-0006-0000-0000-000002000000}">
      <text>
        <r>
          <rPr>
            <sz val="10"/>
            <rFont val="Arial"/>
            <family val="2"/>
          </rPr>
          <t>Gols marcados fora, por jogo, na media da liga</t>
        </r>
      </text>
    </comment>
    <comment ref="B7" authorId="0" shapeId="0" xr:uid="{00000000-0006-0000-0000-000003000000}">
      <text>
        <r>
          <rPr>
            <sz val="10"/>
            <rFont val="Arial"/>
            <family val="2"/>
          </rPr>
          <t>Variancia do total de gols por jogo (use VARP nos seus dados)</t>
        </r>
      </text>
    </comment>
    <comment ref="B8" authorId="0" shapeId="0" xr:uid="{00000000-0006-0000-0000-000004000000}">
      <text>
        <r>
          <rPr>
            <sz val="10"/>
            <rFont val="Arial"/>
            <family val="2"/>
          </rPr>
          <t>Quantos jogos entraram na conta (ex: 3 edicoes = 1140)</t>
        </r>
      </text>
    </comment>
  </commentList>
</comments>
</file>

<file path=xl/sharedStrings.xml><?xml version="1.0" encoding="utf-8"?>
<sst xmlns="http://schemas.openxmlformats.org/spreadsheetml/2006/main" count="57" uniqueCount="56">
  <si>
    <t>Coloque as medias de gols (casa e fora), a variancia observada e o numero de jogos. A planilha decide se a Poisson basta ou se a liga pede uma variante.</t>
  </si>
  <si>
    <t>1. ENTRADAS  (preencha as celulas amarelas)</t>
  </si>
  <si>
    <t>Media de gols do mandante (lambda casa)</t>
  </si>
  <si>
    <t>Media de gols do visitante (lambda fora)</t>
  </si>
  <si>
    <t>Variancia observada dos gols por jogo</t>
  </si>
  <si>
    <t>Numero de jogos analisados</t>
  </si>
  <si>
    <t>2. O QUE A POISSON PREVE</t>
  </si>
  <si>
    <t>Lambda total (casa + fora)</t>
  </si>
  <si>
    <t>P(0x0) - jogo sem gols</t>
  </si>
  <si>
    <t>prob. de placar 0 a 0</t>
  </si>
  <si>
    <t>P(Under 2.5)</t>
  </si>
  <si>
    <t>ate 2 gols no jogo</t>
  </si>
  <si>
    <t>P(Over 2.5)</t>
  </si>
  <si>
    <t>3 ou mais gols</t>
  </si>
  <si>
    <t>Media esperada (=lambda)</t>
  </si>
  <si>
    <t>na Poisson, media=variancia</t>
  </si>
  <si>
    <t>3. TESTE DE DISPERSAO  (a liga foge da Poisson?)</t>
  </si>
  <si>
    <t>Indice de dispersao (variancia / media)</t>
  </si>
  <si>
    <t>1=Poisson | acima de 1=overdisp | abaixo=underdisp</t>
  </si>
  <si>
    <t>Graus de liberdade (n - 1)</t>
  </si>
  <si>
    <t>tamanho efetivo da amostra</t>
  </si>
  <si>
    <t>Limite inferior (qui-quadrado 95%)</t>
  </si>
  <si>
    <t>abaixo disso = underdispersion real</t>
  </si>
  <si>
    <t>Limite superior (qui-quadrado 95%)</t>
  </si>
  <si>
    <t>acima disso = overdispersion real</t>
  </si>
  <si>
    <t>Estatistica do teste (gl x indice)</t>
  </si>
  <si>
    <t>usada no p-valor</t>
  </si>
  <si>
    <t>p-valor (bicaudal)</t>
  </si>
  <si>
    <t>chance de ser puro acaso</t>
  </si>
  <si>
    <t>4. VEREDITO</t>
  </si>
  <si>
    <t>A dispersao e significativa?</t>
  </si>
  <si>
    <t>Distribuicao recomendada</t>
  </si>
  <si>
    <t>Atencao a magnitude</t>
  </si>
  <si>
    <t>Como interpretar cada numero</t>
  </si>
  <si>
    <t>Guia rapido para o aluno entender o que cada resultado significa.</t>
  </si>
  <si>
    <t>O QUE E O INDICE DE DISPERSAO</t>
  </si>
  <si>
    <t>E a variancia dividida pela media. Mede se os gols variam mais ou menos do que a Poisson preveria.</t>
  </si>
  <si>
    <t>&gt; 1,0  -&gt; overdispersion: mais resultados extremos (muitos 0x0 e muitas goleadas)</t>
  </si>
  <si>
    <t>&lt; 1,0  -&gt; underdispersion: resultados concentrados perto da media (poucos extremos)</t>
  </si>
  <si>
    <t>POR QUE O P-VALOR IMPORTA</t>
  </si>
  <si>
    <t>Um indice de 0,92 nao basta para decidir. Ele pode estar longe de 1 por acaso, se a amostra for pequena.</t>
  </si>
  <si>
    <t>O p-valor diz a chance de ver esse indice SE a liga fosse Poisson pura.</t>
  </si>
  <si>
    <t>p &lt; 0,05  -&gt; a diferenca e real (significativa). Menos de 5% de chance de ser acaso.</t>
  </si>
  <si>
    <t>p &gt;= 0,05 -&gt; a diferenca e ruido. Pode ser so o acaso da amostra. Poisson basta.</t>
  </si>
  <si>
    <t>POR QUE QUI-QUADRADO E NAO A REGRA SIMETRICA</t>
  </si>
  <si>
    <t>O indice nao se espalha igual para os dois lados de 1,0 (nunca fica negativo).</t>
  </si>
  <si>
    <t>Com poucos jogos, a margem para cima e maior que para baixo - assimetrica.</t>
  </si>
  <si>
    <t>O qui-quadrado da os limites certos para cada lado. Funciona em qualquer tamanho de amostra.</t>
  </si>
  <si>
    <t>A LICAO MAIS IMPORTANTE</t>
  </si>
  <si>
    <t>Significancia estatistica nao e o mesmo que importancia pratica.</t>
  </si>
  <si>
    <t>Um indice de 0,92, mesmo significativo, e um desvio pequeno.</t>
  </si>
  <si>
    <t>Trocar a Poisson por uma variante so vale se o ganho de previsao compensar a complexidade.</t>
  </si>
  <si>
    <t>Na duvida, fique com a Poisson e documente a observacao. Nao complique sem necessidade.</t>
  </si>
  <si>
    <t>Decisão de Distribuicao por Liga</t>
  </si>
  <si>
    <t>var.p (selecione todos dados de gols totais)</t>
  </si>
  <si>
    <t>cont.num (contagem do numero de jogos)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</si>
</sst>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E6A92E"/>
      <name val="Arial"/>
      <charset val="1"/>
    </font>
    <font>
      <sz val="10"/>
      <name val="Arial"/>
      <charset val="1"/>
    </font>
    <font>
      <b/>
      <sz val="11"/>
      <color rgb="FF0000FF"/>
      <name val="Arial"/>
      <charset val="1"/>
    </font>
    <font>
      <b/>
      <sz val="10"/>
      <name val="Arial"/>
      <charset val="1"/>
    </font>
    <font>
      <sz val="9"/>
      <color rgb="FF444444"/>
      <name val="Arial"/>
      <charset val="1"/>
    </font>
    <font>
      <i/>
      <sz val="9"/>
      <color rgb="FFC0000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FD0"/>
      </patternFill>
    </fill>
    <fill>
      <patternFill patternType="solid">
        <fgColor rgb="FFFCEFD0"/>
        <bgColor rgb="FFFFF2CC"/>
      </patternFill>
    </fill>
    <fill>
      <patternFill patternType="solid">
        <fgColor rgb="FFE2EFDA"/>
        <bgColor rgb="FFFCEF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164" fontId="4" fillId="0" borderId="1" xfId="0" applyNumberFormat="1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CEFD0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92E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>
      <selection activeCell="C35" sqref="C35"/>
    </sheetView>
  </sheetViews>
  <sheetFormatPr defaultColWidth="8.7109375" defaultRowHeight="15" x14ac:dyDescent="0.25"/>
  <cols>
    <col min="1" max="1" width="54.5703125" bestFit="1" customWidth="1"/>
    <col min="2" max="2" width="22" bestFit="1" customWidth="1"/>
    <col min="3" max="3" width="43.85546875" bestFit="1" customWidth="1"/>
    <col min="4" max="6" width="10" customWidth="1"/>
  </cols>
  <sheetData>
    <row r="1" spans="1:6" ht="17.25" customHeight="1" x14ac:dyDescent="0.25">
      <c r="A1" s="5" t="s">
        <v>53</v>
      </c>
    </row>
    <row r="2" spans="1:6" ht="15" customHeight="1" x14ac:dyDescent="0.25">
      <c r="A2" s="4" t="s">
        <v>0</v>
      </c>
      <c r="B2" s="4"/>
      <c r="C2" s="4"/>
      <c r="D2" s="4"/>
      <c r="E2" s="4"/>
      <c r="F2" s="4"/>
    </row>
    <row r="4" spans="1:6" ht="15" customHeight="1" x14ac:dyDescent="0.25">
      <c r="A4" s="6" t="s">
        <v>1</v>
      </c>
    </row>
    <row r="5" spans="1:6" ht="15" customHeight="1" x14ac:dyDescent="0.25">
      <c r="A5" s="7" t="s">
        <v>2</v>
      </c>
      <c r="B5" s="8">
        <v>1.35</v>
      </c>
    </row>
    <row r="6" spans="1:6" ht="15" customHeight="1" x14ac:dyDescent="0.25">
      <c r="A6" s="7" t="s">
        <v>3</v>
      </c>
      <c r="B6" s="8">
        <v>1.1499999999999999</v>
      </c>
    </row>
    <row r="7" spans="1:6" ht="15" customHeight="1" x14ac:dyDescent="0.25">
      <c r="A7" s="7" t="s">
        <v>4</v>
      </c>
      <c r="B7" s="8">
        <v>2.2999999999999998</v>
      </c>
      <c r="C7" t="s">
        <v>54</v>
      </c>
    </row>
    <row r="8" spans="1:6" ht="15" customHeight="1" x14ac:dyDescent="0.25">
      <c r="A8" s="7" t="s">
        <v>5</v>
      </c>
      <c r="B8" s="8">
        <v>1140</v>
      </c>
      <c r="C8" t="s">
        <v>55</v>
      </c>
    </row>
    <row r="10" spans="1:6" ht="15" customHeight="1" x14ac:dyDescent="0.25">
      <c r="A10" s="6" t="s">
        <v>6</v>
      </c>
    </row>
    <row r="11" spans="1:6" ht="15" customHeight="1" x14ac:dyDescent="0.25">
      <c r="A11" s="7" t="s">
        <v>7</v>
      </c>
      <c r="B11" s="9">
        <f>B5+B6</f>
        <v>2.5</v>
      </c>
    </row>
    <row r="12" spans="1:6" ht="15" customHeight="1" x14ac:dyDescent="0.25">
      <c r="A12" s="7" t="s">
        <v>8</v>
      </c>
      <c r="B12" s="10">
        <f>_xlfn.POISSON.DIST(0,B11,FALSE())</f>
        <v>8.20849986238988E-2</v>
      </c>
      <c r="C12" s="11" t="s">
        <v>9</v>
      </c>
    </row>
    <row r="13" spans="1:6" ht="15" customHeight="1" x14ac:dyDescent="0.25">
      <c r="A13" s="7" t="s">
        <v>10</v>
      </c>
      <c r="B13" s="10">
        <f>_xlfn.POISSON.DIST(2,B11,TRUE())</f>
        <v>0.54381311588332959</v>
      </c>
      <c r="C13" s="11" t="s">
        <v>11</v>
      </c>
    </row>
    <row r="14" spans="1:6" ht="15" customHeight="1" x14ac:dyDescent="0.25">
      <c r="A14" s="7" t="s">
        <v>12</v>
      </c>
      <c r="B14" s="10">
        <f>1-_xlfn.POISSON.DIST(2,B11,TRUE())</f>
        <v>0.45618688411667041</v>
      </c>
      <c r="C14" s="11" t="s">
        <v>13</v>
      </c>
    </row>
    <row r="15" spans="1:6" ht="15" customHeight="1" x14ac:dyDescent="0.25">
      <c r="A15" s="7" t="s">
        <v>14</v>
      </c>
      <c r="B15" s="12">
        <f>B11</f>
        <v>2.5</v>
      </c>
      <c r="C15" s="11" t="s">
        <v>15</v>
      </c>
    </row>
    <row r="17" spans="1:6" ht="15" customHeight="1" x14ac:dyDescent="0.25">
      <c r="A17" s="6" t="s">
        <v>16</v>
      </c>
    </row>
    <row r="18" spans="1:6" ht="15" customHeight="1" x14ac:dyDescent="0.25">
      <c r="A18" s="7" t="s">
        <v>17</v>
      </c>
      <c r="B18" s="13">
        <f>B7/B11</f>
        <v>0.91999999999999993</v>
      </c>
      <c r="C18" s="11" t="s">
        <v>18</v>
      </c>
    </row>
    <row r="19" spans="1:6" ht="15" customHeight="1" x14ac:dyDescent="0.25">
      <c r="A19" s="7" t="s">
        <v>19</v>
      </c>
      <c r="B19" s="14">
        <f>B8-1</f>
        <v>1139</v>
      </c>
      <c r="C19" s="11" t="s">
        <v>20</v>
      </c>
    </row>
    <row r="20" spans="1:6" ht="15" customHeight="1" x14ac:dyDescent="0.25">
      <c r="A20" s="7" t="s">
        <v>21</v>
      </c>
      <c r="B20" s="12">
        <f>_xlfn.CHISQ.INV(0.025,B19)/B19</f>
        <v>0.91954568181213336</v>
      </c>
      <c r="C20" s="11" t="s">
        <v>22</v>
      </c>
    </row>
    <row r="21" spans="1:6" ht="15" customHeight="1" x14ac:dyDescent="0.25">
      <c r="A21" s="7" t="s">
        <v>23</v>
      </c>
      <c r="B21" s="12">
        <f>_xlfn.CHISQ.INV(0.975,B19)/B19</f>
        <v>1.0837801594072698</v>
      </c>
      <c r="C21" s="11" t="s">
        <v>24</v>
      </c>
    </row>
    <row r="22" spans="1:6" ht="15" customHeight="1" x14ac:dyDescent="0.25">
      <c r="A22" s="7" t="s">
        <v>25</v>
      </c>
      <c r="B22" s="15">
        <f>B19*B18</f>
        <v>1047.8799999999999</v>
      </c>
      <c r="C22" s="11" t="s">
        <v>26</v>
      </c>
    </row>
    <row r="23" spans="1:6" ht="15" customHeight="1" x14ac:dyDescent="0.25">
      <c r="A23" s="7" t="s">
        <v>27</v>
      </c>
      <c r="B23" s="16">
        <f>2*MIN(_xlfn.CHISQ.DIST(B22,B19,TRUE()),1-_xlfn.CHISQ.DIST(B22,B19,TRUE()))</f>
        <v>5.1355315606793094E-2</v>
      </c>
      <c r="C23" s="11" t="s">
        <v>28</v>
      </c>
    </row>
    <row r="25" spans="1:6" ht="15" customHeight="1" x14ac:dyDescent="0.25">
      <c r="A25" s="6" t="s">
        <v>29</v>
      </c>
    </row>
    <row r="26" spans="1:6" ht="15" customHeight="1" x14ac:dyDescent="0.25">
      <c r="A26" s="7" t="s">
        <v>30</v>
      </c>
      <c r="B26" s="17" t="str">
        <f>IF(B23&lt;0.05,"SIM - significativa","NAO - e ruido amostral")</f>
        <v>NAO - e ruido amostral</v>
      </c>
    </row>
    <row r="27" spans="1:6" ht="15" customHeight="1" x14ac:dyDescent="0.25">
      <c r="A27" s="7" t="s">
        <v>31</v>
      </c>
      <c r="B27" s="3" t="str">
        <f>IF(B23&gt;=0.05,"POISSON basta (diferenca e ruido)",IF(B18&lt;1,"Tendencia a UNDERDISPERSION -&gt; avaliar COM-Poisson","Tendencia a OVERDISPERSION -&gt; avaliar Binomial Negativa"))</f>
        <v>POISSON basta (diferenca e ruido)</v>
      </c>
      <c r="C27" s="3"/>
      <c r="D27" s="3"/>
      <c r="E27" s="3"/>
    </row>
    <row r="28" spans="1:6" ht="15" customHeight="1" x14ac:dyDescent="0.25">
      <c r="A28" s="7" t="s">
        <v>32</v>
      </c>
      <c r="B28" s="2" t="str">
        <f>IF(ABS(B18-1)&lt;0.1,"Mesmo se significativo, o desvio e PEQUENO - Poisson pura costuma ser a escolha sabia","Desvio relevante - vale investigar a variante")</f>
        <v>Mesmo se significativo, o desvio e PEQUENO - Poisson pura costuma ser a escolha sabia</v>
      </c>
      <c r="C28" s="2"/>
      <c r="D28" s="2"/>
      <c r="E28" s="2"/>
      <c r="F28" s="2"/>
    </row>
  </sheetData>
  <mergeCells count="3">
    <mergeCell ref="A2:F2"/>
    <mergeCell ref="B27:E27"/>
    <mergeCell ref="B28:F2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Normal="100" workbookViewId="0"/>
  </sheetViews>
  <sheetFormatPr defaultColWidth="8.7109375" defaultRowHeight="15" x14ac:dyDescent="0.25"/>
  <cols>
    <col min="1" max="1" width="20" customWidth="1"/>
    <col min="2" max="8" width="12" customWidth="1"/>
  </cols>
  <sheetData>
    <row r="1" spans="1:8" ht="17.25" customHeight="1" x14ac:dyDescent="0.25">
      <c r="A1" s="5" t="s">
        <v>33</v>
      </c>
    </row>
    <row r="2" spans="1:8" ht="15" customHeight="1" x14ac:dyDescent="0.25">
      <c r="A2" s="18" t="s">
        <v>34</v>
      </c>
    </row>
    <row r="4" spans="1:8" ht="15" customHeight="1" x14ac:dyDescent="0.25">
      <c r="A4" s="6" t="s">
        <v>35</v>
      </c>
    </row>
    <row r="5" spans="1:8" ht="15" customHeight="1" x14ac:dyDescent="0.25">
      <c r="A5" s="1" t="s">
        <v>36</v>
      </c>
      <c r="B5" s="1"/>
      <c r="C5" s="1"/>
      <c r="D5" s="1"/>
      <c r="E5" s="1"/>
      <c r="F5" s="1"/>
      <c r="G5" s="1"/>
      <c r="H5" s="1"/>
    </row>
    <row r="6" spans="1:8" ht="15" customHeight="1" x14ac:dyDescent="0.25">
      <c r="A6" s="1" t="s">
        <v>37</v>
      </c>
      <c r="B6" s="1"/>
      <c r="C6" s="1"/>
      <c r="D6" s="1"/>
      <c r="E6" s="1"/>
      <c r="F6" s="1"/>
      <c r="G6" s="1"/>
      <c r="H6" s="1"/>
    </row>
    <row r="7" spans="1:8" ht="15" customHeight="1" x14ac:dyDescent="0.25">
      <c r="A7" s="1" t="s">
        <v>37</v>
      </c>
      <c r="B7" s="1"/>
      <c r="C7" s="1"/>
      <c r="D7" s="1"/>
      <c r="E7" s="1"/>
      <c r="F7" s="1"/>
      <c r="G7" s="1"/>
      <c r="H7" s="1"/>
    </row>
    <row r="8" spans="1:8" ht="15" customHeight="1" x14ac:dyDescent="0.25">
      <c r="A8" s="1" t="s">
        <v>38</v>
      </c>
      <c r="B8" s="1"/>
      <c r="C8" s="1"/>
      <c r="D8" s="1"/>
      <c r="E8" s="1"/>
      <c r="F8" s="1"/>
      <c r="G8" s="1"/>
      <c r="H8" s="1"/>
    </row>
    <row r="10" spans="1:8" ht="15" customHeight="1" x14ac:dyDescent="0.25">
      <c r="A10" s="6" t="s">
        <v>39</v>
      </c>
    </row>
    <row r="11" spans="1:8" ht="15" customHeight="1" x14ac:dyDescent="0.25">
      <c r="A11" s="1" t="s">
        <v>40</v>
      </c>
      <c r="B11" s="1"/>
      <c r="C11" s="1"/>
      <c r="D11" s="1"/>
      <c r="E11" s="1"/>
      <c r="F11" s="1"/>
      <c r="G11" s="1"/>
      <c r="H11" s="1"/>
    </row>
    <row r="12" spans="1:8" ht="15" customHeight="1" x14ac:dyDescent="0.25">
      <c r="A12" s="1" t="s">
        <v>41</v>
      </c>
      <c r="B12" s="1"/>
      <c r="C12" s="1"/>
      <c r="D12" s="1"/>
      <c r="E12" s="1"/>
      <c r="F12" s="1"/>
      <c r="G12" s="1"/>
      <c r="H12" s="1"/>
    </row>
    <row r="13" spans="1:8" ht="15" customHeight="1" x14ac:dyDescent="0.25">
      <c r="A13" s="1" t="s">
        <v>42</v>
      </c>
      <c r="B13" s="1"/>
      <c r="C13" s="1"/>
      <c r="D13" s="1"/>
      <c r="E13" s="1"/>
      <c r="F13" s="1"/>
      <c r="G13" s="1"/>
      <c r="H13" s="1"/>
    </row>
    <row r="14" spans="1:8" ht="15" customHeight="1" x14ac:dyDescent="0.25">
      <c r="A14" s="1" t="s">
        <v>43</v>
      </c>
      <c r="B14" s="1"/>
      <c r="C14" s="1"/>
      <c r="D14" s="1"/>
      <c r="E14" s="1"/>
      <c r="F14" s="1"/>
      <c r="G14" s="1"/>
      <c r="H14" s="1"/>
    </row>
    <row r="16" spans="1:8" ht="15" customHeight="1" x14ac:dyDescent="0.25">
      <c r="A16" s="6" t="s">
        <v>44</v>
      </c>
    </row>
    <row r="17" spans="1:8" ht="15" customHeight="1" x14ac:dyDescent="0.25">
      <c r="A17" s="1" t="s">
        <v>45</v>
      </c>
      <c r="B17" s="1"/>
      <c r="C17" s="1"/>
      <c r="D17" s="1"/>
      <c r="E17" s="1"/>
      <c r="F17" s="1"/>
      <c r="G17" s="1"/>
      <c r="H17" s="1"/>
    </row>
    <row r="18" spans="1:8" ht="15" customHeight="1" x14ac:dyDescent="0.25">
      <c r="A18" s="1" t="s">
        <v>46</v>
      </c>
      <c r="B18" s="1"/>
      <c r="C18" s="1"/>
      <c r="D18" s="1"/>
      <c r="E18" s="1"/>
      <c r="F18" s="1"/>
      <c r="G18" s="1"/>
      <c r="H18" s="1"/>
    </row>
    <row r="19" spans="1:8" ht="15" customHeight="1" x14ac:dyDescent="0.25">
      <c r="A19" s="1" t="s">
        <v>47</v>
      </c>
      <c r="B19" s="1"/>
      <c r="C19" s="1"/>
      <c r="D19" s="1"/>
      <c r="E19" s="1"/>
      <c r="F19" s="1"/>
      <c r="G19" s="1"/>
      <c r="H19" s="1"/>
    </row>
    <row r="21" spans="1:8" ht="15" customHeight="1" x14ac:dyDescent="0.25">
      <c r="A21" s="6" t="s">
        <v>48</v>
      </c>
    </row>
    <row r="22" spans="1:8" ht="15" customHeight="1" x14ac:dyDescent="0.25">
      <c r="A22" s="1" t="s">
        <v>49</v>
      </c>
      <c r="B22" s="1"/>
      <c r="C22" s="1"/>
      <c r="D22" s="1"/>
      <c r="E22" s="1"/>
      <c r="F22" s="1"/>
      <c r="G22" s="1"/>
      <c r="H22" s="1"/>
    </row>
    <row r="23" spans="1:8" ht="15" customHeight="1" x14ac:dyDescent="0.25">
      <c r="A23" s="1" t="s">
        <v>50</v>
      </c>
      <c r="B23" s="1"/>
      <c r="C23" s="1"/>
      <c r="D23" s="1"/>
      <c r="E23" s="1"/>
      <c r="F23" s="1"/>
      <c r="G23" s="1"/>
      <c r="H23" s="1"/>
    </row>
    <row r="24" spans="1:8" ht="15" customHeight="1" x14ac:dyDescent="0.25">
      <c r="A24" s="1" t="s">
        <v>51</v>
      </c>
      <c r="B24" s="1"/>
      <c r="C24" s="1"/>
      <c r="D24" s="1"/>
      <c r="E24" s="1"/>
      <c r="F24" s="1"/>
      <c r="G24" s="1"/>
      <c r="H24" s="1"/>
    </row>
    <row r="25" spans="1:8" ht="15" customHeight="1" x14ac:dyDescent="0.25">
      <c r="A25" s="1" t="s">
        <v>52</v>
      </c>
      <c r="B25" s="1"/>
      <c r="C25" s="1"/>
      <c r="D25" s="1"/>
      <c r="E25" s="1"/>
      <c r="F25" s="1"/>
      <c r="G25" s="1"/>
      <c r="H25" s="1"/>
    </row>
  </sheetData>
  <mergeCells count="15">
    <mergeCell ref="A19:H19"/>
    <mergeCell ref="A22:H22"/>
    <mergeCell ref="A23:H23"/>
    <mergeCell ref="A24:H24"/>
    <mergeCell ref="A25:H25"/>
    <mergeCell ref="A12:H12"/>
    <mergeCell ref="A13:H13"/>
    <mergeCell ref="A14:H14"/>
    <mergeCell ref="A17:H17"/>
    <mergeCell ref="A18:H18"/>
    <mergeCell ref="A5:H5"/>
    <mergeCell ref="A6:H6"/>
    <mergeCell ref="A7:H7"/>
    <mergeCell ref="A8:H8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Decisao</vt:lpstr>
      <vt:lpstr>Como 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luciano zeidler</cp:lastModifiedBy>
  <cp:revision>0</cp:revision>
  <dcterms:created xsi:type="dcterms:W3CDTF">2026-06-27T21:39:57Z</dcterms:created>
  <dcterms:modified xsi:type="dcterms:W3CDTF">2026-06-27T22:06:25Z</dcterms:modified>
  <dc:language>en-US</dc:language>
</cp:coreProperties>
</file>