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ROI (teste-t)" sheetId="2" state="visible" r:id="rId4"/>
    <sheet name="Hit Rate (teste-z)" sheetId="3" state="visible" r:id="rId5"/>
    <sheet name="Comparar Métodos" sheetId="4" state="visible" r:id="rId6"/>
    <sheet name="Mudança de Regime" sheetId="5" state="visible" r:id="rId7"/>
    <sheet name="Correlaçã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Total de apostas</t>
        </r>
      </text>
    </comment>
    <comment ref="C7" authorId="0">
      <text>
        <r>
          <rPr>
            <sz val="10"/>
            <rFont val="Arial"/>
            <family val="2"/>
          </rPr>
          <t xml:space="preserve">Retorno médio por bet unitário</t>
        </r>
      </text>
    </comment>
    <comment ref="C8" authorId="0">
      <text>
        <r>
          <rPr>
            <sz val="10"/>
            <rFont val="Arial"/>
            <family val="2"/>
          </rPr>
          <t xml:space="preserve">Odd média ponderada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Total de apostas</t>
        </r>
      </text>
    </comment>
    <comment ref="C7" authorId="0">
      <text>
        <r>
          <rPr>
            <sz val="10"/>
            <rFont val="Arial"/>
            <family val="2"/>
          </rPr>
          <t xml:space="preserve">Percentual ganho</t>
        </r>
      </text>
    </comment>
    <comment ref="C8" authorId="0">
      <text>
        <r>
          <rPr>
            <sz val="10"/>
            <rFont val="Arial"/>
            <family val="2"/>
          </rPr>
          <t xml:space="preserve">Se odd é 2.00, breakeven = 50%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Total de apostas de A</t>
        </r>
      </text>
    </comment>
    <comment ref="C7" authorId="0">
      <text>
        <r>
          <rPr>
            <sz val="10"/>
            <rFont val="Arial"/>
            <family val="2"/>
          </rPr>
          <t xml:space="preserve">Percentual de acerto de A</t>
        </r>
      </text>
    </comment>
    <comment ref="C8" authorId="0">
      <text>
        <r>
          <rPr>
            <sz val="10"/>
            <rFont val="Arial"/>
            <family val="2"/>
          </rPr>
          <t xml:space="preserve">Total de apostas de B</t>
        </r>
      </text>
    </comment>
    <comment ref="C9" authorId="0">
      <text>
        <r>
          <rPr>
            <sz val="10"/>
            <rFont val="Arial"/>
            <family val="2"/>
          </rPr>
          <t xml:space="preserve">Percentual de acerto de B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Apostas no período histórico</t>
        </r>
      </text>
    </comment>
    <comment ref="C7" authorId="0">
      <text>
        <r>
          <rPr>
            <sz val="10"/>
            <rFont val="Arial"/>
            <family val="2"/>
          </rPr>
          <t xml:space="preserve">Hit histórico funcional</t>
        </r>
      </text>
    </comment>
    <comment ref="C8" authorId="0">
      <text>
        <r>
          <rPr>
            <sz val="10"/>
            <rFont val="Arial"/>
            <family val="2"/>
          </rPr>
          <t xml:space="preserve">Apostas no período recente</t>
        </r>
      </text>
    </comment>
    <comment ref="C9" authorId="0">
      <text>
        <r>
          <rPr>
            <sz val="10"/>
            <rFont val="Arial"/>
            <family val="2"/>
          </rPr>
          <t xml:space="preserve">Hit recente sob suspeita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Quantidade de pares (x,y)</t>
        </r>
      </text>
    </comment>
    <comment ref="C7" authorId="0">
      <text>
        <r>
          <rPr>
            <sz val="10"/>
            <rFont val="Arial"/>
            <family val="2"/>
          </rPr>
          <t xml:space="preserve">Pearson entre -1 e +1. Use =CORREL(colA,colB)</t>
        </r>
      </text>
    </comment>
  </commentList>
</comments>
</file>

<file path=xl/sharedStrings.xml><?xml version="1.0" encoding="utf-8"?>
<sst xmlns="http://schemas.openxmlformats.org/spreadsheetml/2006/main" count="168" uniqueCount="136">
  <si>
    <t xml:space="preserve">Calculadora de p-value · Big Data Bet</t>
  </si>
  <si>
    <t xml:space="preserve">Validação estatística de métodos de apostas · 5 testes prontos</t>
  </si>
  <si>
    <t xml:space="preserve">Como usar</t>
  </si>
  <si>
    <t xml:space="preserve">  1.</t>
  </si>
  <si>
    <t xml:space="preserve">Identifique qual pergunta você quer responder (ver tabela abaixo).</t>
  </si>
  <si>
    <t xml:space="preserve">  2.</t>
  </si>
  <si>
    <t xml:space="preserve">Abra a aba correspondente ao teste.</t>
  </si>
  <si>
    <t xml:space="preserve">  3.</t>
  </si>
  <si>
    <t xml:space="preserve">Preencha APENAS as células AMARELAS com seus dados.</t>
  </si>
  <si>
    <t xml:space="preserve">  4.</t>
  </si>
  <si>
    <t xml:space="preserve">O p-value, estatística e interpretação aparecem automaticamente.</t>
  </si>
  <si>
    <t xml:space="preserve">  5.</t>
  </si>
  <si>
    <t xml:space="preserve">Leia o veredito verbal em destaque no final.</t>
  </si>
  <si>
    <t xml:space="preserve">Qual teste usar?</t>
  </si>
  <si>
    <t xml:space="preserve">Sua pergunta</t>
  </si>
  <si>
    <t xml:space="preserve">Aba a usar</t>
  </si>
  <si>
    <t xml:space="preserve">Meu método tem ROI real positivo ou é sorte?</t>
  </si>
  <si>
    <t xml:space="preserve">ROI (teste-t)</t>
  </si>
  <si>
    <t xml:space="preserve">Meu hit rate bate o breakeven da odd média?</t>
  </si>
  <si>
    <t xml:space="preserve">Hit Rate (teste-z)</t>
  </si>
  <si>
    <t xml:space="preserve">Método A tem hit rate maior que Método B?</t>
  </si>
  <si>
    <t xml:space="preserve">Comparar Métodos</t>
  </si>
  <si>
    <t xml:space="preserve">Meu método parou de funcionar (quebrou)?</t>
  </si>
  <si>
    <t xml:space="preserve">Mudança de Regime</t>
  </si>
  <si>
    <t xml:space="preserve">Esta correlação r é significativa ou é ruído?</t>
  </si>
  <si>
    <t xml:space="preserve">Correlação</t>
  </si>
  <si>
    <t xml:space="preserve">Regras de bolso</t>
  </si>
  <si>
    <t xml:space="preserve">p &lt; 0,01</t>
  </si>
  <si>
    <t xml:space="preserve">Evidência FORTE — método provavelmente tem edge real</t>
  </si>
  <si>
    <t xml:space="preserve">p &lt; 0,05</t>
  </si>
  <si>
    <t xml:space="preserve">Significativo pela ciência, mas prefira p&lt;0,01 para banca</t>
  </si>
  <si>
    <t xml:space="preserve">p &lt; 0,10</t>
  </si>
  <si>
    <t xml:space="preserve">Marginal — sugere padrão mas ainda não valida</t>
  </si>
  <si>
    <t xml:space="preserve">p &gt; 0,10</t>
  </si>
  <si>
    <t xml:space="preserve">Compatível com sorte — não opere baseado só nisso</t>
  </si>
  <si>
    <t xml:space="preserve">n &lt; 100</t>
  </si>
  <si>
    <t xml:space="preserve">Desconfie de qualquer p-value baixo — amostra pequena</t>
  </si>
  <si>
    <t xml:space="preserve">n &gt; 10.000</t>
  </si>
  <si>
    <t xml:space="preserve">Desconfie se efeito for pequeno — significância trivial</t>
  </si>
  <si>
    <t xml:space="preserve">Legenda das cores</t>
  </si>
  <si>
    <t xml:space="preserve">Amarelo</t>
  </si>
  <si>
    <t xml:space="preserve">Célula que VOCÊ preenche com seus dados</t>
  </si>
  <si>
    <t xml:space="preserve">Azul</t>
  </si>
  <si>
    <t xml:space="preserve">Números que VOCÊ preencheu (input)</t>
  </si>
  <si>
    <t xml:space="preserve">Preto</t>
  </si>
  <si>
    <t xml:space="preserve">Fórmulas — não altere</t>
  </si>
  <si>
    <t xml:space="preserve">⚠ Nota técnica sobre as fórmulas</t>
  </si>
  <si>
    <t xml:space="preserve">As fórmulas usam funções universais que funcionam em Excel português e inglês: SQRT (raiz), NORMSDIST (normal padrão), TDIST (t-Student), IF (se), ABS.</t>
  </si>
  <si>
    <t xml:space="preserve">Teste-t de uma amostra · valida se ROI médio é diferente de zero</t>
  </si>
  <si>
    <t xml:space="preserve">ℹ Sobre este teste</t>
  </si>
  <si>
    <t xml:space="preserve">⬇ PREENCHA COM SEUS DADOS (células amarelas)</t>
  </si>
  <si>
    <t xml:space="preserve">Número de apostas (n)</t>
  </si>
  <si>
    <t xml:space="preserve">Pergunta que responde</t>
  </si>
  <si>
    <t xml:space="preserve">ROI observado (%) — ex: 3.54 para 3,54%</t>
  </si>
  <si>
    <t xml:space="preserve">ROI positivo é fruto de edge real ou eu tive sorte na amostra?</t>
  </si>
  <si>
    <t xml:space="preserve">Odd média das apostas</t>
  </si>
  <si>
    <t xml:space="preserve">Por que teste-t e não z</t>
  </si>
  <si>
    <t xml:space="preserve">⬇ CÁLCULOS AUTOMÁTICOS</t>
  </si>
  <si>
    <t xml:space="preserve">Estamos ESTIMANDO o desvio-padrão dos payoffs da própria amostra. Isso introduz incerteza que a distribuição t captura via caudas mais gordas.</t>
  </si>
  <si>
    <t xml:space="preserve">Hit rate implícito</t>
  </si>
  <si>
    <t xml:space="preserve">Desvio-padrão dos payoffs (s)</t>
  </si>
  <si>
    <t xml:space="preserve">Ressalva de independência</t>
  </si>
  <si>
    <t xml:space="preserve">Erro padrão (s/√n)</t>
  </si>
  <si>
    <t xml:space="preserve">Assume apostas INDEPENDENTES. Se todas são da mesma rodada/torneio, p-value real é maior. Multiplique o p obtido por 1.3-1.5x mentalmente.</t>
  </si>
  <si>
    <t xml:space="preserve">Estatística t</t>
  </si>
  <si>
    <t xml:space="preserve">Graus de liberdade (n-1)</t>
  </si>
  <si>
    <t xml:space="preserve">Limitação da fórmula</t>
  </si>
  <si>
    <t xml:space="preserve">p-value unilateral (edge &gt; 0)</t>
  </si>
  <si>
    <t xml:space="preserve">A fórmula do s assume distribuição binomial. Razoável para odds 1,3-4,0. Fora disso, use bootstrap.</t>
  </si>
  <si>
    <t xml:space="preserve">p-value bilateral (edge ≠ 0)</t>
  </si>
  <si>
    <t xml:space="preserve">p-value final:</t>
  </si>
  <si>
    <t xml:space="preserve">📖 Interpretação:</t>
  </si>
  <si>
    <t xml:space="preserve">Meu hit rate bate o breakeven da odd?</t>
  </si>
  <si>
    <t xml:space="preserve">Teste-z de proporção · valida se hit rate &gt; 1/odd_média</t>
  </si>
  <si>
    <t xml:space="preserve">Hit rate observado (%) — ex: 55</t>
  </si>
  <si>
    <t xml:space="preserve">Meu hit rate observado é significativamente maior que o mínimo para lucrar?</t>
  </si>
  <si>
    <t xml:space="preserve">Hit rate breakeven (%) — 100/odd</t>
  </si>
  <si>
    <t xml:space="preserve">Por que teste-z e não t</t>
  </si>
  <si>
    <t xml:space="preserve">A variância teórica de proporção é MATEMATICAMENTE p·(1−p) — número conhecido. Não estimamos σ do dado.</t>
  </si>
  <si>
    <t xml:space="preserve">Diferença observada (pp)</t>
  </si>
  <si>
    <t xml:space="preserve">Erro padrão da proporção</t>
  </si>
  <si>
    <t xml:space="preserve">Como achar breakeven</t>
  </si>
  <si>
    <t xml:space="preserve">Estatística z</t>
  </si>
  <si>
    <t xml:space="preserve">Odd média 2.00 → breakeven 50%. Odd média 1.55 → breakeven 64,5%.</t>
  </si>
  <si>
    <t xml:space="preserve">p-value unilateral (hit &gt; breakeven)</t>
  </si>
  <si>
    <t xml:space="preserve">p-value bilateral (hit ≠ breakeven)</t>
  </si>
  <si>
    <t xml:space="preserve">Uso operacional</t>
  </si>
  <si>
    <t xml:space="preserve">Ideal quando todas as apostas têm odd similar. Para odds heterogêneas, prefira teste-t de ROI.</t>
  </si>
  <si>
    <t xml:space="preserve">Teste-z de duas proporções · compara 2 estratégias</t>
  </si>
  <si>
    <t xml:space="preserve">N método A</t>
  </si>
  <si>
    <t xml:space="preserve">Hit rate A (%)</t>
  </si>
  <si>
    <t xml:space="preserve">A diferença entre hit rate de A e B é significativa ou pode ser sorte?</t>
  </si>
  <si>
    <t xml:space="preserve">N método B</t>
  </si>
  <si>
    <t xml:space="preserve">Hit rate B (%)</t>
  </si>
  <si>
    <t xml:space="preserve">Por que pooled</t>
  </si>
  <si>
    <t xml:space="preserve">Sob H₀ (métodos iguais), há uma "proporção comum". A média ponderada dos dois grupos é a melhor estimativa dessa proporção sob H₀.</t>
  </si>
  <si>
    <t xml:space="preserve">Uso típico</t>
  </si>
  <si>
    <t xml:space="preserve">Proporção agregada (pooled)</t>
  </si>
  <si>
    <t xml:space="preserve">Decidir qual método manter em produção. Se p&gt;0,10, mantenha o mais simples.</t>
  </si>
  <si>
    <t xml:space="preserve">Erro padrão da diferença</t>
  </si>
  <si>
    <t xml:space="preserve">Cuidado com múltiplos testes</t>
  </si>
  <si>
    <t xml:space="preserve">p-value unilateral (A &gt; B)</t>
  </si>
  <si>
    <t xml:space="preserve">Se compara 10 métodos entre si, testa 45 pares. Alguns dão p&lt;0,05 por sorte. Bonferroni: threshold real = 0,05/45 = 0,001.</t>
  </si>
  <si>
    <t xml:space="preserve">p-value bilateral (A ≠ B)</t>
  </si>
  <si>
    <t xml:space="preserve">Meu método parou de funcionar?</t>
  </si>
  <si>
    <t xml:space="preserve">Teste-z de duas proporções (temporal) · detecta quebra de performance</t>
  </si>
  <si>
    <t xml:space="preserve">N janela ANTES</t>
  </si>
  <si>
    <t xml:space="preserve">Hit rate ANTES (%)</t>
  </si>
  <si>
    <t xml:space="preserve">Queda recente é quebra real ou oscilação normal?</t>
  </si>
  <si>
    <t xml:space="preserve">N janela DEPOIS</t>
  </si>
  <si>
    <t xml:space="preserve">Hit rate DEPOIS (%)</t>
  </si>
  <si>
    <t xml:space="preserve">Por que unilateral</t>
  </si>
  <si>
    <t xml:space="preserve">Testa especificamente se PIOROU. H₁ direcional: hit_antes &gt; hit_depois.</t>
  </si>
  <si>
    <t xml:space="preserve">Queda observada (pp)</t>
  </si>
  <si>
    <t xml:space="preserve">Ação por resultado</t>
  </si>
  <si>
    <t xml:space="preserve">Proporção agregada</t>
  </si>
  <si>
    <t xml:space="preserve">p&lt;0,01: pause o método. p&lt;0,05: reduza stake. p&lt;0,10: alerta amarelo. p&gt;0,10: siga.</t>
  </si>
  <si>
    <t xml:space="preserve">Ressalva crítica</t>
  </si>
  <si>
    <t xml:space="preserve">p-value unilateral (queda real)</t>
  </si>
  <si>
    <t xml:space="preserve">Janela recente n&lt;100 tem IC amplo. Espere ≥100 apostas antes de concluir quebra.</t>
  </si>
  <si>
    <t xml:space="preserve">p-value bilateral (mudou em qualquer direção)</t>
  </si>
  <si>
    <t xml:space="preserve">Esta correlação r é significativa?</t>
  </si>
  <si>
    <t xml:space="preserve">Teste-t de correlação · valida se r ≠ 0</t>
  </si>
  <si>
    <t xml:space="preserve">Número de observações (n)</t>
  </si>
  <si>
    <t xml:space="preserve">Correlação r observada</t>
  </si>
  <si>
    <t xml:space="preserve">A correlação observada é diferente de zero ou pode ser produto de amostra aleatória?</t>
  </si>
  <si>
    <t xml:space="preserve">RESSALVA CRUCIAL</t>
  </si>
  <si>
    <t xml:space="preserve">r² (variância explicada)</t>
  </si>
  <si>
    <t xml:space="preserve">Com n grande, correlações minúsculas viram "significativas". r=0,05 com n=10.000 dá p&lt;0,001 mas explica só 0,25%. SEMPRE reporte r² junto.</t>
  </si>
  <si>
    <t xml:space="preserve">Graus de liberdade (n-2)</t>
  </si>
  <si>
    <t xml:space="preserve">Regra prática de utilidade</t>
  </si>
  <si>
    <t xml:space="preserve">p-value unilateral (r &gt; 0)</t>
  </si>
  <si>
    <t xml:space="preserve">r² &lt; 5% (r&lt;0,22): útil só como feature em multivariado. r² 5-15%: candidato. r² &gt; 15%: forte.</t>
  </si>
  <si>
    <t xml:space="preserve">p-value bilateral (r ≠ 0)</t>
  </si>
  <si>
    <t xml:space="preserve">Erro comum</t>
  </si>
  <si>
    <t xml:space="preserve">Correlação significativa NÃO IMPLICA causalidade, utilidade preditiva, nem edge operacional. Apenas diz "não é zero".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</si>
</sst>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00"/>
    <numFmt numFmtId="167" formatCode="0.000"/>
    <numFmt numFmtId="168" formatCode="0"/>
    <numFmt numFmtId="169" formatCode="0.00"/>
    <numFmt numFmtId="170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1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5F8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2C5F8D"/>
      <name val="Arial"/>
      <family val="0"/>
      <charset val="1"/>
    </font>
    <font>
      <b val="true"/>
      <sz val="20"/>
      <color rgb="FF2E7D32"/>
      <name val="Arial"/>
      <family val="0"/>
      <charset val="1"/>
    </font>
    <font>
      <b val="true"/>
      <i val="true"/>
      <sz val="11"/>
      <color rgb="FF1B5E2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E8F5E9"/>
      </patternFill>
    </fill>
    <fill>
      <patternFill patternType="solid">
        <fgColor rgb="FF2C5F8D"/>
        <bgColor rgb="FF1F3A5F"/>
      </patternFill>
    </fill>
    <fill>
      <patternFill patternType="solid">
        <fgColor rgb="FFFFF9C4"/>
        <bgColor rgb="FFFFFF9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>
        <color rgb="FF2C5F8D"/>
      </left>
      <right style="medium">
        <color rgb="FF2C5F8D"/>
      </right>
      <top style="medium">
        <color rgb="FF2C5F8D"/>
      </top>
      <bottom style="medium">
        <color rgb="FF2C5F8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E3F2FD"/>
      <rgbColor rgb="FF660066"/>
      <rgbColor rgb="FFFF8080"/>
      <rgbColor rgb="FF2C5F8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3" t="s">
        <v>3</v>
      </c>
      <c r="C7" s="4" t="s">
        <v>4</v>
      </c>
    </row>
    <row r="8" customFormat="false" ht="15" hidden="false" customHeight="false" outlineLevel="0" collapsed="false">
      <c r="B8" s="3" t="s">
        <v>5</v>
      </c>
      <c r="C8" s="4" t="s">
        <v>6</v>
      </c>
    </row>
    <row r="9" customFormat="false" ht="15" hidden="false" customHeight="false" outlineLevel="0" collapsed="false">
      <c r="B9" s="3" t="s">
        <v>7</v>
      </c>
      <c r="C9" s="4" t="s">
        <v>8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  <row r="14" customFormat="false" ht="15" hidden="false" customHeight="false" outlineLevel="0" collapsed="false">
      <c r="B14" s="5" t="s">
        <v>13</v>
      </c>
    </row>
    <row r="16" customFormat="false" ht="15" hidden="false" customHeight="false" outlineLevel="0" collapsed="false">
      <c r="B16" s="6" t="s">
        <v>14</v>
      </c>
      <c r="C16" s="6" t="s">
        <v>15</v>
      </c>
    </row>
    <row r="17" customFormat="false" ht="15" hidden="false" customHeight="false" outlineLevel="0" collapsed="false">
      <c r="B17" s="7" t="s">
        <v>16</v>
      </c>
      <c r="C17" s="7" t="s">
        <v>17</v>
      </c>
    </row>
    <row r="18" customFormat="false" ht="15" hidden="false" customHeight="false" outlineLevel="0" collapsed="false">
      <c r="B18" s="7" t="s">
        <v>18</v>
      </c>
      <c r="C18" s="7" t="s">
        <v>19</v>
      </c>
    </row>
    <row r="19" customFormat="false" ht="15" hidden="false" customHeight="false" outlineLevel="0" collapsed="false">
      <c r="B19" s="7" t="s">
        <v>20</v>
      </c>
      <c r="C19" s="7" t="s">
        <v>21</v>
      </c>
    </row>
    <row r="20" customFormat="false" ht="15" hidden="false" customHeight="false" outlineLevel="0" collapsed="false">
      <c r="B20" s="7" t="s">
        <v>22</v>
      </c>
      <c r="C20" s="7" t="s">
        <v>23</v>
      </c>
    </row>
    <row r="21" customFormat="false" ht="15" hidden="false" customHeight="false" outlineLevel="0" collapsed="false">
      <c r="B21" s="7" t="s">
        <v>24</v>
      </c>
      <c r="C21" s="7" t="s">
        <v>25</v>
      </c>
    </row>
    <row r="24" customFormat="false" ht="15" hidden="false" customHeight="false" outlineLevel="0" collapsed="false">
      <c r="B24" s="3" t="s">
        <v>26</v>
      </c>
    </row>
    <row r="26" customFormat="false" ht="15" hidden="false" customHeight="false" outlineLevel="0" collapsed="false">
      <c r="B26" s="8" t="s">
        <v>27</v>
      </c>
      <c r="C26" s="4" t="s">
        <v>28</v>
      </c>
    </row>
    <row r="27" customFormat="false" ht="15" hidden="false" customHeight="false" outlineLevel="0" collapsed="false">
      <c r="B27" s="8" t="s">
        <v>29</v>
      </c>
      <c r="C27" s="4" t="s">
        <v>30</v>
      </c>
    </row>
    <row r="28" customFormat="false" ht="15" hidden="false" customHeight="false" outlineLevel="0" collapsed="false">
      <c r="B28" s="8" t="s">
        <v>31</v>
      </c>
      <c r="C28" s="4" t="s">
        <v>32</v>
      </c>
    </row>
    <row r="29" customFormat="false" ht="15" hidden="false" customHeight="false" outlineLevel="0" collapsed="false">
      <c r="B29" s="8" t="s">
        <v>33</v>
      </c>
      <c r="C29" s="4" t="s">
        <v>34</v>
      </c>
    </row>
    <row r="30" customFormat="false" ht="15" hidden="false" customHeight="false" outlineLevel="0" collapsed="false">
      <c r="B30" s="8" t="s">
        <v>35</v>
      </c>
      <c r="C30" s="4" t="s">
        <v>36</v>
      </c>
    </row>
    <row r="31" customFormat="false" ht="15" hidden="false" customHeight="false" outlineLevel="0" collapsed="false">
      <c r="B31" s="8" t="s">
        <v>37</v>
      </c>
      <c r="C31" s="4" t="s">
        <v>38</v>
      </c>
    </row>
    <row r="33" customFormat="false" ht="15" hidden="false" customHeight="false" outlineLevel="0" collapsed="false">
      <c r="B33" s="3" t="s">
        <v>39</v>
      </c>
    </row>
    <row r="34" customFormat="false" ht="15" hidden="false" customHeight="false" outlineLevel="0" collapsed="false">
      <c r="B34" s="9" t="s">
        <v>40</v>
      </c>
      <c r="C34" s="10" t="s">
        <v>41</v>
      </c>
    </row>
    <row r="35" customFormat="false" ht="15" hidden="false" customHeight="false" outlineLevel="0" collapsed="false">
      <c r="B35" s="0" t="s">
        <v>42</v>
      </c>
      <c r="C35" s="11" t="s">
        <v>43</v>
      </c>
    </row>
    <row r="36" customFormat="false" ht="15" hidden="false" customHeight="false" outlineLevel="0" collapsed="false">
      <c r="B36" s="0" t="s">
        <v>44</v>
      </c>
      <c r="C36" s="0" t="s">
        <v>45</v>
      </c>
    </row>
    <row r="38" customFormat="false" ht="15" hidden="false" customHeight="false" outlineLevel="0" collapsed="false">
      <c r="B38" s="3" t="s">
        <v>46</v>
      </c>
    </row>
    <row r="39" customFormat="false" ht="39.75" hidden="false" customHeight="true" outlineLevel="0" collapsed="false">
      <c r="B39" s="12" t="s">
        <v>47</v>
      </c>
      <c r="C39" s="12"/>
    </row>
  </sheetData>
  <mergeCells count="1">
    <mergeCell ref="B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5"/>
  </cols>
  <sheetData>
    <row r="2" customFormat="false" ht="19.7" hidden="false" customHeight="false" outlineLevel="0" collapsed="false">
      <c r="B2" s="1" t="s">
        <v>16</v>
      </c>
    </row>
    <row r="3" customFormat="false" ht="15" hidden="false" customHeight="false" outlineLevel="0" collapsed="false">
      <c r="B3" s="2" t="s">
        <v>48</v>
      </c>
    </row>
    <row r="4" customFormat="false" ht="15" hidden="false" customHeight="false" outlineLevel="0" collapsed="false">
      <c r="E4" s="13" t="s">
        <v>49</v>
      </c>
    </row>
    <row r="5" customFormat="false" ht="15" hidden="false" customHeight="false" outlineLevel="0" collapsed="false">
      <c r="B5" s="14" t="s">
        <v>50</v>
      </c>
      <c r="C5" s="14"/>
    </row>
    <row r="6" customFormat="false" ht="15" hidden="false" customHeight="false" outlineLevel="0" collapsed="false">
      <c r="B6" s="15" t="s">
        <v>51</v>
      </c>
      <c r="C6" s="16" t="n">
        <v>338</v>
      </c>
      <c r="E6" s="3" t="s">
        <v>52</v>
      </c>
    </row>
    <row r="7" customFormat="false" ht="45" hidden="false" customHeight="true" outlineLevel="0" collapsed="false">
      <c r="B7" s="15" t="s">
        <v>53</v>
      </c>
      <c r="C7" s="16" t="n">
        <v>3.54</v>
      </c>
      <c r="E7" s="17" t="s">
        <v>54</v>
      </c>
    </row>
    <row r="8" customFormat="false" ht="15" hidden="false" customHeight="false" outlineLevel="0" collapsed="false">
      <c r="B8" s="15" t="s">
        <v>55</v>
      </c>
      <c r="C8" s="16" t="n">
        <v>1.55</v>
      </c>
    </row>
    <row r="9" customFormat="false" ht="15" hidden="false" customHeight="false" outlineLevel="0" collapsed="false">
      <c r="E9" s="3" t="s">
        <v>56</v>
      </c>
    </row>
    <row r="10" customFormat="false" ht="45" hidden="false" customHeight="true" outlineLevel="0" collapsed="false">
      <c r="B10" s="14" t="s">
        <v>57</v>
      </c>
      <c r="C10" s="14"/>
      <c r="E10" s="17" t="s">
        <v>58</v>
      </c>
    </row>
    <row r="11" customFormat="false" ht="15" hidden="false" customHeight="false" outlineLevel="0" collapsed="false">
      <c r="B11" s="15" t="s">
        <v>59</v>
      </c>
      <c r="C11" s="18" t="n">
        <f aca="false">(1+C7/100)/C8</f>
        <v>0.668</v>
      </c>
    </row>
    <row r="12" customFormat="false" ht="15" hidden="false" customHeight="false" outlineLevel="0" collapsed="false">
      <c r="B12" s="15" t="s">
        <v>60</v>
      </c>
      <c r="C12" s="19" t="n">
        <f aca="false">SQRT(C11*(C8-1)^2 + (1-C11)*1 - (C7/100)^2)</f>
        <v>0.729943038873582</v>
      </c>
      <c r="E12" s="3" t="s">
        <v>61</v>
      </c>
    </row>
    <row r="13" customFormat="false" ht="45" hidden="false" customHeight="true" outlineLevel="0" collapsed="false">
      <c r="B13" s="15" t="s">
        <v>62</v>
      </c>
      <c r="C13" s="19" t="n">
        <f aca="false">C12/SQRT(C6)</f>
        <v>0.0397036671282635</v>
      </c>
      <c r="E13" s="17" t="s">
        <v>63</v>
      </c>
    </row>
    <row r="14" customFormat="false" ht="15" hidden="false" customHeight="false" outlineLevel="0" collapsed="false">
      <c r="B14" s="15" t="s">
        <v>64</v>
      </c>
      <c r="C14" s="20" t="n">
        <f aca="false">(C7/100)/C13</f>
        <v>0.891605298967462</v>
      </c>
    </row>
    <row r="15" customFormat="false" ht="15" hidden="false" customHeight="false" outlineLevel="0" collapsed="false">
      <c r="B15" s="15" t="s">
        <v>65</v>
      </c>
      <c r="C15" s="21" t="n">
        <f aca="false">C6-1</f>
        <v>337</v>
      </c>
      <c r="E15" s="3" t="s">
        <v>66</v>
      </c>
    </row>
    <row r="16" customFormat="false" ht="45" hidden="false" customHeight="true" outlineLevel="0" collapsed="false">
      <c r="B16" s="15" t="s">
        <v>67</v>
      </c>
      <c r="C16" s="19" t="n">
        <f aca="false">IF(C14&gt;=0,TDIST(C14,C15,1),1-TDIST(-C14,C15,1))</f>
        <v>0.186620338320314</v>
      </c>
      <c r="E16" s="17" t="s">
        <v>68</v>
      </c>
    </row>
    <row r="17" customFormat="false" ht="15" hidden="false" customHeight="false" outlineLevel="0" collapsed="false">
      <c r="B17" s="15" t="s">
        <v>69</v>
      </c>
      <c r="C17" s="19" t="n">
        <f aca="false">TDIST(ABS(C14),C15,2)</f>
        <v>0.373240676640628</v>
      </c>
    </row>
    <row r="20" customFormat="false" ht="33.75" hidden="false" customHeight="true" outlineLevel="0" collapsed="false">
      <c r="B20" s="22" t="s">
        <v>70</v>
      </c>
      <c r="C20" s="23" t="n">
        <f aca="false">C16</f>
        <v>0.186620338320314</v>
      </c>
    </row>
    <row r="22" customFormat="false" ht="15" hidden="false" customHeight="false" outlineLevel="0" collapsed="false">
      <c r="B22" s="24" t="s">
        <v>71</v>
      </c>
      <c r="C22" s="24"/>
    </row>
    <row r="23" customFormat="false" ht="49.5" hidden="false" customHeight="true" outlineLevel="0" collapsed="false">
      <c r="B23" s="25" t="str">
        <f aca="false">IF(C16&lt;0.001,"EVIDÊNCIA MUITO FORTE — resultado altamente improvável por sorte",IF(C16&lt;0.01,"EVIDÊNCIA FORTE — pode operar com confiança",IF(C16&lt;0.05,"SIGNIFICATIVO — aceitável, mas prefira p&lt;0,01 para banca",IF(C16&lt;0.1,"MARGINAL — sugere padrão mas não crava, colete mais dados",IF(C16&lt;0.3,"NÃO SIGNIFICATIVO — compatível com sorte","INDISTINGUÍVEL DE SORTE — zero evidência")))))</f>
        <v>NÃO SIGNIFICATIVO — compatível com sorte</v>
      </c>
      <c r="C23" s="25"/>
    </row>
  </sheetData>
  <mergeCells count="4">
    <mergeCell ref="B5:C5"/>
    <mergeCell ref="B10:C10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5"/>
  </cols>
  <sheetData>
    <row r="2" customFormat="false" ht="19.7" hidden="false" customHeight="false" outlineLevel="0" collapsed="false">
      <c r="B2" s="1" t="s">
        <v>72</v>
      </c>
    </row>
    <row r="3" customFormat="false" ht="15" hidden="false" customHeight="false" outlineLevel="0" collapsed="false">
      <c r="B3" s="2" t="s">
        <v>73</v>
      </c>
    </row>
    <row r="4" customFormat="false" ht="15" hidden="false" customHeight="false" outlineLevel="0" collapsed="false">
      <c r="E4" s="13" t="s">
        <v>49</v>
      </c>
    </row>
    <row r="5" customFormat="false" ht="15" hidden="false" customHeight="false" outlineLevel="0" collapsed="false">
      <c r="B5" s="14" t="s">
        <v>50</v>
      </c>
      <c r="C5" s="14"/>
    </row>
    <row r="6" customFormat="false" ht="15" hidden="false" customHeight="false" outlineLevel="0" collapsed="false">
      <c r="B6" s="15" t="s">
        <v>51</v>
      </c>
      <c r="C6" s="16" t="n">
        <v>200</v>
      </c>
      <c r="E6" s="3" t="s">
        <v>52</v>
      </c>
    </row>
    <row r="7" customFormat="false" ht="45" hidden="false" customHeight="true" outlineLevel="0" collapsed="false">
      <c r="B7" s="15" t="s">
        <v>74</v>
      </c>
      <c r="C7" s="16" t="n">
        <v>55</v>
      </c>
      <c r="E7" s="17" t="s">
        <v>75</v>
      </c>
    </row>
    <row r="8" customFormat="false" ht="15" hidden="false" customHeight="false" outlineLevel="0" collapsed="false">
      <c r="B8" s="15" t="s">
        <v>76</v>
      </c>
      <c r="C8" s="16" t="n">
        <v>50</v>
      </c>
    </row>
    <row r="9" customFormat="false" ht="15" hidden="false" customHeight="false" outlineLevel="0" collapsed="false">
      <c r="E9" s="3" t="s">
        <v>77</v>
      </c>
    </row>
    <row r="10" customFormat="false" ht="45" hidden="false" customHeight="true" outlineLevel="0" collapsed="false">
      <c r="B10" s="14" t="s">
        <v>57</v>
      </c>
      <c r="C10" s="14"/>
      <c r="E10" s="17" t="s">
        <v>78</v>
      </c>
    </row>
    <row r="11" customFormat="false" ht="15" hidden="false" customHeight="false" outlineLevel="0" collapsed="false">
      <c r="B11" s="15" t="s">
        <v>79</v>
      </c>
      <c r="C11" s="26" t="n">
        <f aca="false">C7-C8</f>
        <v>5</v>
      </c>
    </row>
    <row r="12" customFormat="false" ht="15" hidden="false" customHeight="false" outlineLevel="0" collapsed="false">
      <c r="B12" s="15" t="s">
        <v>80</v>
      </c>
      <c r="C12" s="19" t="n">
        <f aca="false">SQRT((C8/100)*(1-C8/100)/C6)</f>
        <v>0.0353553390593274</v>
      </c>
      <c r="E12" s="3" t="s">
        <v>81</v>
      </c>
    </row>
    <row r="13" customFormat="false" ht="45" hidden="false" customHeight="true" outlineLevel="0" collapsed="false">
      <c r="B13" s="15" t="s">
        <v>82</v>
      </c>
      <c r="C13" s="20" t="n">
        <f aca="false">((C7/100)-(C8/100))/C12</f>
        <v>1.4142135623731</v>
      </c>
      <c r="E13" s="17" t="s">
        <v>83</v>
      </c>
    </row>
    <row r="14" customFormat="false" ht="15" hidden="false" customHeight="false" outlineLevel="0" collapsed="false">
      <c r="B14" s="15" t="s">
        <v>84</v>
      </c>
      <c r="C14" s="19" t="n">
        <f aca="false">1-NORMSDIST(C13)</f>
        <v>0.0786496035251424</v>
      </c>
    </row>
    <row r="15" customFormat="false" ht="15" hidden="false" customHeight="false" outlineLevel="0" collapsed="false">
      <c r="B15" s="15" t="s">
        <v>85</v>
      </c>
      <c r="C15" s="19" t="n">
        <f aca="false">2*(1-NORMSDIST(ABS(C13)))</f>
        <v>0.157299207050285</v>
      </c>
      <c r="E15" s="3" t="s">
        <v>86</v>
      </c>
    </row>
    <row r="16" customFormat="false" ht="45" hidden="false" customHeight="true" outlineLevel="0" collapsed="false">
      <c r="E16" s="17" t="s">
        <v>87</v>
      </c>
    </row>
    <row r="18" customFormat="false" ht="33.75" hidden="false" customHeight="true" outlineLevel="0" collapsed="false">
      <c r="B18" s="22" t="s">
        <v>70</v>
      </c>
      <c r="C18" s="23" t="n">
        <f aca="false">C14</f>
        <v>0.0786496035251424</v>
      </c>
    </row>
    <row r="20" customFormat="false" ht="15" hidden="false" customHeight="false" outlineLevel="0" collapsed="false">
      <c r="B20" s="24" t="s">
        <v>71</v>
      </c>
      <c r="C20" s="24"/>
    </row>
    <row r="21" customFormat="false" ht="49.5" hidden="false" customHeight="true" outlineLevel="0" collapsed="false">
      <c r="B21" s="25" t="str">
        <f aca="false">IF(C14&lt;0.001,"EVIDÊNCIA MUITO FORTE — resultado altamente improvável por sorte",IF(C14&lt;0.01,"EVIDÊNCIA FORTE — pode operar com confiança",IF(C14&lt;0.05,"SIGNIFICATIVO — aceitável, mas prefira p&lt;0,01 para banca",IF(C14&lt;0.1,"MARGINAL — sugere padrão mas não crava, colete mais dados",IF(C14&lt;0.3,"NÃO SIGNIFICATIVO — compatível com sorte","INDISTINGUÍVEL DE SORTE — zero evidência")))))</f>
        <v>MARGINAL — sugere padrão mas não crava, colete mais dados</v>
      </c>
      <c r="C21" s="25"/>
    </row>
  </sheetData>
  <mergeCells count="4">
    <mergeCell ref="B5:C5"/>
    <mergeCell ref="B10:C10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5"/>
  </cols>
  <sheetData>
    <row r="2" customFormat="false" ht="19.7" hidden="false" customHeight="false" outlineLevel="0" collapsed="false">
      <c r="B2" s="1" t="s">
        <v>20</v>
      </c>
    </row>
    <row r="3" customFormat="false" ht="15" hidden="false" customHeight="false" outlineLevel="0" collapsed="false">
      <c r="B3" s="2" t="s">
        <v>88</v>
      </c>
    </row>
    <row r="4" customFormat="false" ht="15" hidden="false" customHeight="false" outlineLevel="0" collapsed="false">
      <c r="E4" s="13" t="s">
        <v>49</v>
      </c>
    </row>
    <row r="5" customFormat="false" ht="15" hidden="false" customHeight="false" outlineLevel="0" collapsed="false">
      <c r="B5" s="14" t="s">
        <v>50</v>
      </c>
      <c r="C5" s="14"/>
    </row>
    <row r="6" customFormat="false" ht="15" hidden="false" customHeight="false" outlineLevel="0" collapsed="false">
      <c r="B6" s="15" t="s">
        <v>89</v>
      </c>
      <c r="C6" s="16" t="n">
        <v>300</v>
      </c>
      <c r="E6" s="3" t="s">
        <v>52</v>
      </c>
    </row>
    <row r="7" customFormat="false" ht="45" hidden="false" customHeight="true" outlineLevel="0" collapsed="false">
      <c r="B7" s="15" t="s">
        <v>90</v>
      </c>
      <c r="C7" s="16" t="n">
        <v>54</v>
      </c>
      <c r="E7" s="17" t="s">
        <v>91</v>
      </c>
    </row>
    <row r="8" customFormat="false" ht="15" hidden="false" customHeight="false" outlineLevel="0" collapsed="false">
      <c r="B8" s="15" t="s">
        <v>92</v>
      </c>
      <c r="C8" s="16" t="n">
        <v>300</v>
      </c>
    </row>
    <row r="9" customFormat="false" ht="15" hidden="false" customHeight="false" outlineLevel="0" collapsed="false">
      <c r="B9" s="15" t="s">
        <v>93</v>
      </c>
      <c r="C9" s="16" t="n">
        <v>48</v>
      </c>
      <c r="E9" s="3" t="s">
        <v>94</v>
      </c>
    </row>
    <row r="10" customFormat="false" ht="45" hidden="false" customHeight="true" outlineLevel="0" collapsed="false">
      <c r="E10" s="17" t="s">
        <v>95</v>
      </c>
    </row>
    <row r="11" customFormat="false" ht="15" hidden="false" customHeight="false" outlineLevel="0" collapsed="false">
      <c r="B11" s="14" t="s">
        <v>57</v>
      </c>
      <c r="C11" s="14"/>
    </row>
    <row r="12" customFormat="false" ht="15" hidden="false" customHeight="false" outlineLevel="0" collapsed="false">
      <c r="B12" s="15" t="s">
        <v>79</v>
      </c>
      <c r="C12" s="26" t="n">
        <f aca="false">C7-C9</f>
        <v>6</v>
      </c>
      <c r="E12" s="3" t="s">
        <v>96</v>
      </c>
    </row>
    <row r="13" customFormat="false" ht="45" hidden="false" customHeight="true" outlineLevel="0" collapsed="false">
      <c r="B13" s="15" t="s">
        <v>97</v>
      </c>
      <c r="C13" s="19" t="n">
        <f aca="false">(C7/100*C6+C9/100*C8)/(C6+C8)</f>
        <v>0.51</v>
      </c>
      <c r="E13" s="17" t="s">
        <v>98</v>
      </c>
    </row>
    <row r="14" customFormat="false" ht="15" hidden="false" customHeight="false" outlineLevel="0" collapsed="false">
      <c r="B14" s="15" t="s">
        <v>99</v>
      </c>
      <c r="C14" s="19" t="n">
        <f aca="false">SQRT(C13*(1-C13)*(1/C6+1/C8))</f>
        <v>0.0408166632639171</v>
      </c>
    </row>
    <row r="15" customFormat="false" ht="15" hidden="false" customHeight="false" outlineLevel="0" collapsed="false">
      <c r="B15" s="15" t="s">
        <v>82</v>
      </c>
      <c r="C15" s="20" t="n">
        <f aca="false">((C7/100)-(C9/100))/C14</f>
        <v>1.46998787265008</v>
      </c>
      <c r="E15" s="3" t="s">
        <v>100</v>
      </c>
    </row>
    <row r="16" customFormat="false" ht="45" hidden="false" customHeight="true" outlineLevel="0" collapsed="false">
      <c r="B16" s="15" t="s">
        <v>101</v>
      </c>
      <c r="C16" s="19" t="n">
        <f aca="false">1-NORMSDIST(C15)</f>
        <v>0.0707825192685426</v>
      </c>
      <c r="E16" s="17" t="s">
        <v>102</v>
      </c>
    </row>
    <row r="17" customFormat="false" ht="15" hidden="false" customHeight="false" outlineLevel="0" collapsed="false">
      <c r="B17" s="15" t="s">
        <v>103</v>
      </c>
      <c r="C17" s="19" t="n">
        <f aca="false">2*(1-NORMSDIST(ABS(C15)))</f>
        <v>0.141565038537085</v>
      </c>
    </row>
    <row r="20" customFormat="false" ht="33.75" hidden="false" customHeight="true" outlineLevel="0" collapsed="false">
      <c r="B20" s="22" t="s">
        <v>70</v>
      </c>
      <c r="C20" s="23" t="n">
        <f aca="false">C16</f>
        <v>0.0707825192685426</v>
      </c>
    </row>
    <row r="22" customFormat="false" ht="15" hidden="false" customHeight="false" outlineLevel="0" collapsed="false">
      <c r="B22" s="24" t="s">
        <v>71</v>
      </c>
      <c r="C22" s="24"/>
    </row>
    <row r="23" customFormat="false" ht="49.5" hidden="false" customHeight="true" outlineLevel="0" collapsed="false">
      <c r="B23" s="25" t="str">
        <f aca="false">IF(C16&lt;0.001,"EVIDÊNCIA MUITO FORTE — resultado altamente improvável por sorte",IF(C16&lt;0.01,"EVIDÊNCIA FORTE — pode operar com confiança",IF(C16&lt;0.05,"SIGNIFICATIVO — aceitável, mas prefira p&lt;0,01 para banca",IF(C16&lt;0.1,"MARGINAL — sugere padrão mas não crava, colete mais dados",IF(C16&lt;0.3,"NÃO SIGNIFICATIVO — compatível com sorte","INDISTINGUÍVEL DE SORTE — zero evidência")))))</f>
        <v>MARGINAL — sugere padrão mas não crava, colete mais dados</v>
      </c>
      <c r="C23" s="25"/>
    </row>
  </sheetData>
  <mergeCells count="4">
    <mergeCell ref="B5:C5"/>
    <mergeCell ref="B11:C1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5"/>
  </cols>
  <sheetData>
    <row r="2" customFormat="false" ht="19.7" hidden="false" customHeight="false" outlineLevel="0" collapsed="false">
      <c r="B2" s="1" t="s">
        <v>104</v>
      </c>
    </row>
    <row r="3" customFormat="false" ht="15" hidden="false" customHeight="false" outlineLevel="0" collapsed="false">
      <c r="B3" s="2" t="s">
        <v>105</v>
      </c>
    </row>
    <row r="4" customFormat="false" ht="15" hidden="false" customHeight="false" outlineLevel="0" collapsed="false">
      <c r="E4" s="13" t="s">
        <v>49</v>
      </c>
    </row>
    <row r="5" customFormat="false" ht="15" hidden="false" customHeight="false" outlineLevel="0" collapsed="false">
      <c r="B5" s="14" t="s">
        <v>50</v>
      </c>
      <c r="C5" s="14"/>
    </row>
    <row r="6" customFormat="false" ht="15" hidden="false" customHeight="false" outlineLevel="0" collapsed="false">
      <c r="B6" s="15" t="s">
        <v>106</v>
      </c>
      <c r="C6" s="16" t="n">
        <v>500</v>
      </c>
      <c r="E6" s="3" t="s">
        <v>52</v>
      </c>
    </row>
    <row r="7" customFormat="false" ht="45" hidden="false" customHeight="true" outlineLevel="0" collapsed="false">
      <c r="B7" s="15" t="s">
        <v>107</v>
      </c>
      <c r="C7" s="16" t="n">
        <v>56</v>
      </c>
      <c r="E7" s="17" t="s">
        <v>108</v>
      </c>
    </row>
    <row r="8" customFormat="false" ht="15" hidden="false" customHeight="false" outlineLevel="0" collapsed="false">
      <c r="B8" s="15" t="s">
        <v>109</v>
      </c>
      <c r="C8" s="16" t="n">
        <v>150</v>
      </c>
    </row>
    <row r="9" customFormat="false" ht="15" hidden="false" customHeight="false" outlineLevel="0" collapsed="false">
      <c r="B9" s="15" t="s">
        <v>110</v>
      </c>
      <c r="C9" s="16" t="n">
        <v>49</v>
      </c>
      <c r="E9" s="3" t="s">
        <v>111</v>
      </c>
    </row>
    <row r="10" customFormat="false" ht="45" hidden="false" customHeight="true" outlineLevel="0" collapsed="false">
      <c r="E10" s="17" t="s">
        <v>112</v>
      </c>
    </row>
    <row r="11" customFormat="false" ht="15" hidden="false" customHeight="false" outlineLevel="0" collapsed="false">
      <c r="B11" s="14" t="s">
        <v>57</v>
      </c>
      <c r="C11" s="14"/>
    </row>
    <row r="12" customFormat="false" ht="15" hidden="false" customHeight="false" outlineLevel="0" collapsed="false">
      <c r="B12" s="15" t="s">
        <v>113</v>
      </c>
      <c r="C12" s="26" t="n">
        <f aca="false">C7-C9</f>
        <v>7</v>
      </c>
      <c r="E12" s="3" t="s">
        <v>114</v>
      </c>
    </row>
    <row r="13" customFormat="false" ht="45" hidden="false" customHeight="true" outlineLevel="0" collapsed="false">
      <c r="B13" s="15" t="s">
        <v>115</v>
      </c>
      <c r="C13" s="19" t="n">
        <f aca="false">(C7/100*C6+C9/100*C8)/(C6+C8)</f>
        <v>0.543846153846154</v>
      </c>
      <c r="E13" s="17" t="s">
        <v>116</v>
      </c>
    </row>
    <row r="14" customFormat="false" ht="15" hidden="false" customHeight="false" outlineLevel="0" collapsed="false">
      <c r="B14" s="15" t="s">
        <v>99</v>
      </c>
      <c r="C14" s="19" t="n">
        <f aca="false">SQRT(C13*(1-C13)*(1/C6+1/C8))</f>
        <v>0.0463681477763036</v>
      </c>
    </row>
    <row r="15" customFormat="false" ht="15" hidden="false" customHeight="false" outlineLevel="0" collapsed="false">
      <c r="B15" s="15" t="s">
        <v>82</v>
      </c>
      <c r="C15" s="20" t="n">
        <f aca="false">((C7/100)-(C9/100))/C14</f>
        <v>1.50965702442342</v>
      </c>
      <c r="E15" s="3" t="s">
        <v>117</v>
      </c>
    </row>
    <row r="16" customFormat="false" ht="45" hidden="false" customHeight="true" outlineLevel="0" collapsed="false">
      <c r="B16" s="15" t="s">
        <v>118</v>
      </c>
      <c r="C16" s="19" t="n">
        <f aca="false">1-NORMSDIST(C15)</f>
        <v>0.0655654812569896</v>
      </c>
      <c r="E16" s="17" t="s">
        <v>119</v>
      </c>
    </row>
    <row r="17" customFormat="false" ht="15" hidden="false" customHeight="false" outlineLevel="0" collapsed="false">
      <c r="B17" s="15" t="s">
        <v>120</v>
      </c>
      <c r="C17" s="19" t="n">
        <f aca="false">2*(1-NORMSDIST(ABS(C15)))</f>
        <v>0.131130962513979</v>
      </c>
    </row>
    <row r="20" customFormat="false" ht="33.75" hidden="false" customHeight="true" outlineLevel="0" collapsed="false">
      <c r="B20" s="22" t="s">
        <v>70</v>
      </c>
      <c r="C20" s="23" t="n">
        <f aca="false">C16</f>
        <v>0.0655654812569896</v>
      </c>
    </row>
    <row r="22" customFormat="false" ht="15" hidden="false" customHeight="false" outlineLevel="0" collapsed="false">
      <c r="B22" s="24" t="s">
        <v>71</v>
      </c>
      <c r="C22" s="24"/>
    </row>
    <row r="23" customFormat="false" ht="49.5" hidden="false" customHeight="true" outlineLevel="0" collapsed="false">
      <c r="B23" s="25" t="str">
        <f aca="false">IF(C16&lt;0.001,"EVIDÊNCIA MUITO FORTE — resultado altamente improvável por sorte",IF(C16&lt;0.01,"EVIDÊNCIA FORTE — pode operar com confiança",IF(C16&lt;0.05,"SIGNIFICATIVO — aceitável, mas prefira p&lt;0,01 para banca",IF(C16&lt;0.1,"MARGINAL — sugere padrão mas não crava, colete mais dados",IF(C16&lt;0.3,"NÃO SIGNIFICATIVO — compatível com sorte","INDISTINGUÍVEL DE SORTE — zero evidência")))))</f>
        <v>MARGINAL — sugere padrão mas não crava, colete mais dados</v>
      </c>
      <c r="C23" s="25"/>
    </row>
  </sheetData>
  <mergeCells count="4">
    <mergeCell ref="B5:C5"/>
    <mergeCell ref="B11:C1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5"/>
  </cols>
  <sheetData>
    <row r="2" customFormat="false" ht="19.7" hidden="false" customHeight="false" outlineLevel="0" collapsed="false">
      <c r="B2" s="1" t="s">
        <v>121</v>
      </c>
    </row>
    <row r="3" customFormat="false" ht="15" hidden="false" customHeight="false" outlineLevel="0" collapsed="false">
      <c r="B3" s="2" t="s">
        <v>122</v>
      </c>
    </row>
    <row r="4" customFormat="false" ht="15" hidden="false" customHeight="false" outlineLevel="0" collapsed="false">
      <c r="E4" s="13" t="s">
        <v>49</v>
      </c>
    </row>
    <row r="5" customFormat="false" ht="15" hidden="false" customHeight="false" outlineLevel="0" collapsed="false">
      <c r="B5" s="14" t="s">
        <v>50</v>
      </c>
      <c r="C5" s="14"/>
    </row>
    <row r="6" customFormat="false" ht="15" hidden="false" customHeight="false" outlineLevel="0" collapsed="false">
      <c r="B6" s="15" t="s">
        <v>123</v>
      </c>
      <c r="C6" s="16" t="n">
        <v>100</v>
      </c>
      <c r="E6" s="3" t="s">
        <v>52</v>
      </c>
    </row>
    <row r="7" customFormat="false" ht="45" hidden="false" customHeight="true" outlineLevel="0" collapsed="false">
      <c r="B7" s="15" t="s">
        <v>124</v>
      </c>
      <c r="C7" s="16" t="n">
        <v>0.27</v>
      </c>
      <c r="E7" s="17" t="s">
        <v>125</v>
      </c>
    </row>
    <row r="9" customFormat="false" ht="15" hidden="false" customHeight="false" outlineLevel="0" collapsed="false">
      <c r="B9" s="14" t="s">
        <v>57</v>
      </c>
      <c r="C9" s="14"/>
      <c r="E9" s="3" t="s">
        <v>126</v>
      </c>
    </row>
    <row r="10" customFormat="false" ht="45" hidden="false" customHeight="true" outlineLevel="0" collapsed="false">
      <c r="B10" s="15" t="s">
        <v>127</v>
      </c>
      <c r="C10" s="27" t="n">
        <f aca="false">C7^2</f>
        <v>0.0729</v>
      </c>
      <c r="E10" s="17" t="s">
        <v>128</v>
      </c>
    </row>
    <row r="11" customFormat="false" ht="15" hidden="false" customHeight="false" outlineLevel="0" collapsed="false">
      <c r="B11" s="15" t="s">
        <v>64</v>
      </c>
      <c r="C11" s="20" t="n">
        <f aca="false">C7*SQRT(C6-2)/SQRT(1-C7^2)</f>
        <v>2.77596196598354</v>
      </c>
    </row>
    <row r="12" customFormat="false" ht="15" hidden="false" customHeight="false" outlineLevel="0" collapsed="false">
      <c r="B12" s="15" t="s">
        <v>129</v>
      </c>
      <c r="C12" s="21" t="n">
        <f aca="false">C6-2</f>
        <v>98</v>
      </c>
      <c r="E12" s="3" t="s">
        <v>130</v>
      </c>
    </row>
    <row r="13" customFormat="false" ht="45" hidden="false" customHeight="true" outlineLevel="0" collapsed="false">
      <c r="B13" s="15" t="s">
        <v>131</v>
      </c>
      <c r="C13" s="19" t="n">
        <f aca="false">IF(C11&gt;=0,TDIST(C11,C12,1),1-TDIST(-C11,C12,1))</f>
        <v>0.00329676830519973</v>
      </c>
      <c r="E13" s="17" t="s">
        <v>132</v>
      </c>
    </row>
    <row r="14" customFormat="false" ht="15" hidden="false" customHeight="false" outlineLevel="0" collapsed="false">
      <c r="B14" s="15" t="s">
        <v>133</v>
      </c>
      <c r="C14" s="19" t="n">
        <f aca="false">TDIST(ABS(C11),C12,2)</f>
        <v>0.00659353661039946</v>
      </c>
    </row>
    <row r="15" customFormat="false" ht="15" hidden="false" customHeight="false" outlineLevel="0" collapsed="false">
      <c r="E15" s="3" t="s">
        <v>134</v>
      </c>
    </row>
    <row r="16" customFormat="false" ht="45" hidden="false" customHeight="true" outlineLevel="0" collapsed="false">
      <c r="E16" s="17" t="s">
        <v>135</v>
      </c>
    </row>
    <row r="17" customFormat="false" ht="33.75" hidden="false" customHeight="true" outlineLevel="0" collapsed="false">
      <c r="B17" s="22" t="s">
        <v>70</v>
      </c>
      <c r="C17" s="23" t="n">
        <f aca="false">C13</f>
        <v>0.00329676830519973</v>
      </c>
    </row>
    <row r="19" customFormat="false" ht="15" hidden="false" customHeight="false" outlineLevel="0" collapsed="false">
      <c r="B19" s="24" t="s">
        <v>71</v>
      </c>
      <c r="C19" s="24"/>
    </row>
    <row r="20" customFormat="false" ht="49.5" hidden="false" customHeight="true" outlineLevel="0" collapsed="false">
      <c r="B20" s="25" t="str">
        <f aca="false">IF(C13&lt;0.001,"EVIDÊNCIA MUITO FORTE — resultado altamente improvável por sorte",IF(C13&lt;0.01,"EVIDÊNCIA FORTE — pode operar com confiança",IF(C13&lt;0.05,"SIGNIFICATIVO — aceitável, mas prefira p&lt;0,01 para banca",IF(C13&lt;0.1,"MARGINAL — sugere padrão mas não crava, colete mais dados",IF(C13&lt;0.3,"NÃO SIGNIFICATIVO — compatível com sorte","INDISTINGUÍVEL DE SORTE — zero evidência")))))</f>
        <v>EVIDÊNCIA FORTE — pode operar com confiança</v>
      </c>
      <c r="C20" s="25"/>
    </row>
  </sheetData>
  <mergeCells count="4">
    <mergeCell ref="B5:C5"/>
    <mergeCell ref="B9:C9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2026-09-08T17:30:34Z</dcterms:created>
  <dc:creator>openpyxl</dc:creator>
  <dc:description/>
  <dc:language>en-US</dc:language>
  <cp:lastModifiedBy/>
  <dcterms:modified xsi:type="dcterms:W3CDTF">2026-09-08T17:30:34Z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